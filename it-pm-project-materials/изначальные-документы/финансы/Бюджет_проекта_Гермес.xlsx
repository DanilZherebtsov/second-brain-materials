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юджет проекта" sheetId="1" state="visible" r:id="rId1"/>
    <sheet xmlns:r="http://schemas.openxmlformats.org/officeDocument/2006/relationships" name="Ежемесячно (поддержка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b val="1"/>
      <color rgb="00171633"/>
      <sz val="11"/>
    </font>
    <font>
      <name val="Arial"/>
      <sz val="11"/>
    </font>
    <font>
      <name val="Arial"/>
      <color rgb="001A1A8C"/>
      <sz val="11"/>
    </font>
    <font>
      <name val="Arial"/>
      <color rgb="00000000"/>
      <sz val="11"/>
    </font>
    <font>
      <name val="Arial"/>
      <b val="1"/>
      <color rgb="000E8A7E"/>
      <sz val="11"/>
    </font>
  </fonts>
  <fills count="5">
    <fill>
      <patternFill/>
    </fill>
    <fill>
      <patternFill patternType="gray125"/>
    </fill>
    <fill>
      <patternFill patternType="solid">
        <fgColor rgb="00171633"/>
      </patternFill>
    </fill>
    <fill>
      <patternFill patternType="solid">
        <fgColor rgb="00F5F4FB"/>
      </patternFill>
    </fill>
    <fill>
      <patternFill patternType="solid">
        <fgColor rgb="00EDEBF9"/>
      </patternFill>
    </fill>
  </fills>
  <borders count="2">
    <border>
      <left/>
      <right/>
      <top/>
      <bottom/>
      <diagonal/>
    </border>
    <border>
      <left style="thin">
        <color rgb="00D8D6E8"/>
      </left>
      <right style="thin">
        <color rgb="00D8D6E8"/>
      </right>
      <top style="thin">
        <color rgb="00D8D6E8"/>
      </top>
      <bottom style="thin">
        <color rgb="00D8D6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2" fillId="0" borderId="1" pivotButton="0" quotePrefix="0" xfId="0"/>
    <xf numFmtId="0" fontId="4" fillId="0" borderId="1" pivotButton="0" quotePrefix="0" xfId="0"/>
    <xf numFmtId="3" fontId="4" fillId="4" borderId="1" pivotButton="0" quotePrefix="0" xfId="0"/>
    <xf numFmtId="0" fontId="0" fillId="0" borderId="1" pivotButton="0" quotePrefix="0" xfId="0"/>
    <xf numFmtId="3" fontId="7" fillId="0" borderId="1" pivotButton="0" quotePrefix="0" xfId="0"/>
    <xf numFmtId="0" fontId="3" fillId="2" borderId="1" pivotButton="0" quotePrefix="0" xfId="0"/>
    <xf numFmtId="3" fontId="3" fillId="2" borderId="1" pivotButton="0" quotePrefix="0" xfId="0"/>
    <xf numFmtId="0" fontId="0" fillId="2" borderId="1" pivotButton="0" quotePrefix="0" xfId="0"/>
    <xf numFmtId="3" fontId="8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6" customWidth="1" min="3" max="3"/>
    <col width="26" customWidth="1" min="4" max="4"/>
  </cols>
  <sheetData>
    <row r="1">
      <c r="A1" s="1" t="inlineStr">
        <is>
          <t>Проект «Гермес» — ИИ-ассистент поддержки. Бюджет разработки и внедрения</t>
        </is>
      </c>
    </row>
    <row r="2">
      <c r="A2" s="2" t="inlineStr">
        <is>
          <t>Версия от 25.06.2026 — черновик, оценки от тимлида и вендоров, не финал</t>
        </is>
      </c>
    </row>
    <row r="4">
      <c r="A4" s="3" t="inlineStr">
        <is>
          <t>Статья</t>
        </is>
      </c>
      <c r="B4" s="3" t="inlineStr">
        <is>
          <t>Сумма, ₽</t>
        </is>
      </c>
      <c r="C4" s="3" t="inlineStr">
        <is>
          <t>Комментарий</t>
        </is>
      </c>
      <c r="D4" s="3" t="inlineStr">
        <is>
          <t>Источник / ответственный</t>
        </is>
      </c>
    </row>
    <row r="5">
      <c r="A5" s="4" t="inlineStr">
        <is>
          <t>КОМАНДА (4 месяца)</t>
        </is>
      </c>
      <c r="B5" s="5" t="n"/>
      <c r="C5" s="5" t="n"/>
      <c r="D5" s="5" t="n"/>
    </row>
    <row r="6">
      <c r="A6" s="6" t="inlineStr">
        <is>
          <t>PM (0,4 ставки × 4 мес)</t>
        </is>
      </c>
      <c r="B6" s="7" t="n">
        <v>360000</v>
      </c>
      <c r="C6" s="8" t="inlineStr">
        <is>
          <t>Управление проектом, коммуникация с заказчиком</t>
        </is>
      </c>
      <c r="D6" s="6" t="inlineStr">
        <is>
          <t>Тимлид</t>
        </is>
      </c>
    </row>
    <row r="7">
      <c r="A7" s="6" t="inlineStr">
        <is>
          <t>ML/LLM-инженер (1,0 × 4 мес)</t>
        </is>
      </c>
      <c r="B7" s="7" t="n">
        <v>1040000</v>
      </c>
      <c r="C7" s="8" t="inlineStr">
        <is>
          <t>Ядро ассистента, RAG, промптинг, eval</t>
        </is>
      </c>
      <c r="D7" s="6" t="inlineStr">
        <is>
          <t>Тимлид</t>
        </is>
      </c>
    </row>
    <row r="8">
      <c r="A8" s="6" t="inlineStr">
        <is>
          <t>Backend-разработчик (0,7 × 4 мес)</t>
        </is>
      </c>
      <c r="B8" s="7" t="n">
        <v>620000</v>
      </c>
      <c r="C8" s="8" t="inlineStr">
        <is>
          <t>Интеграция с helpdesk, API, очереди</t>
        </is>
      </c>
      <c r="D8" s="6" t="inlineStr">
        <is>
          <t>Тимлид</t>
        </is>
      </c>
    </row>
    <row r="9">
      <c r="A9" s="6" t="inlineStr">
        <is>
          <t>ML-инженер по данным (0,4 × 4 мес)</t>
        </is>
      </c>
      <c r="B9" s="7" t="n">
        <v>300000</v>
      </c>
      <c r="C9" s="8" t="inlineStr">
        <is>
          <t>Сбор и подготовка базы знаний</t>
        </is>
      </c>
      <c r="D9" s="6" t="inlineStr">
        <is>
          <t>Тимлид</t>
        </is>
      </c>
    </row>
    <row r="10">
      <c r="A10" s="6" t="inlineStr">
        <is>
          <t>QA-инженер (0,4 × 4 мес)</t>
        </is>
      </c>
      <c r="B10" s="7" t="n">
        <v>220000</v>
      </c>
      <c r="C10" s="8" t="inlineStr">
        <is>
          <t>Тест-кейсы, приёмочный набор, регресс</t>
        </is>
      </c>
      <c r="D10" s="6" t="inlineStr">
        <is>
          <t>Тимлид</t>
        </is>
      </c>
    </row>
    <row r="11">
      <c r="A11" s="9" t="inlineStr">
        <is>
          <t>ИТОГО команда</t>
        </is>
      </c>
      <c r="B11" s="10">
        <f>SUM(B6:B10)</f>
        <v/>
      </c>
      <c r="C11" s="11" t="n"/>
      <c r="D11" s="11" t="n"/>
    </row>
    <row r="13">
      <c r="A13" s="4" t="inlineStr">
        <is>
          <t>ИНФРАСТРУКТУРА И ЛИЦЕНЗИИ</t>
        </is>
      </c>
      <c r="B13" s="5" t="n"/>
      <c r="C13" s="5" t="n"/>
      <c r="D13" s="5" t="n"/>
    </row>
    <row r="14">
      <c r="A14" s="6" t="inlineStr">
        <is>
          <t>Инференс / LLM API (разработка + тест)</t>
        </is>
      </c>
      <c r="B14" s="7" t="n">
        <v>160000</v>
      </c>
      <c r="C14" s="8" t="inlineStr">
        <is>
          <t>По выбранному вендору (МодельАПИ)</t>
        </is>
      </c>
      <c r="D14" s="6" t="inlineStr">
        <is>
          <t>Вендор инференса</t>
        </is>
      </c>
    </row>
    <row r="15">
      <c r="A15" s="6" t="inlineStr">
        <is>
          <t>Облако (dev / stage)</t>
        </is>
      </c>
      <c r="B15" s="7" t="n">
        <v>90000</v>
      </c>
      <c r="C15" s="8" t="inlineStr">
        <is>
          <t>Среды разработки и тестирования</t>
        </is>
      </c>
      <c r="D15" s="6" t="inlineStr">
        <is>
          <t>Облачный провайдер</t>
        </is>
      </c>
    </row>
    <row r="16">
      <c r="A16" s="6" t="inlineStr">
        <is>
          <t>Vector DB / хранилище эмбеддингов</t>
        </is>
      </c>
      <c r="B16" s="7" t="n">
        <v>60000</v>
      </c>
      <c r="C16" s="8" t="inlineStr">
        <is>
          <t>Хранилище базы знаний</t>
        </is>
      </c>
      <c r="D16" s="6" t="inlineStr">
        <is>
          <t>VectoDB</t>
        </is>
      </c>
    </row>
    <row r="17">
      <c r="A17" s="6" t="inlineStr">
        <is>
          <t>Инструменты (мониторинг, CI/CD)</t>
        </is>
      </c>
      <c r="B17" s="7" t="n">
        <v>40000</v>
      </c>
      <c r="C17" s="8" t="inlineStr">
        <is>
          <t>Логи, алертинг, сборка</t>
        </is>
      </c>
      <c r="D17" s="6" t="inlineStr">
        <is>
          <t>—</t>
        </is>
      </c>
    </row>
    <row r="18">
      <c r="A18" s="9" t="inlineStr">
        <is>
          <t>ИТОГО инфраструктура</t>
        </is>
      </c>
      <c r="B18" s="10">
        <f>SUM(B14:B17)</f>
        <v/>
      </c>
      <c r="C18" s="11" t="n"/>
      <c r="D18" s="11" t="n"/>
    </row>
    <row r="20">
      <c r="A20" s="4" t="inlineStr">
        <is>
          <t>ДАННЫЕ И КОНТЕНТ</t>
        </is>
      </c>
      <c r="B20" s="5" t="n"/>
      <c r="C20" s="5" t="n"/>
      <c r="D20" s="5" t="n"/>
    </row>
    <row r="21">
      <c r="A21" s="6" t="inlineStr">
        <is>
          <t>Подготовка/разметка базы знаний (подрядчик)</t>
        </is>
      </c>
      <c r="B21" s="7" t="n">
        <v>180000</v>
      </c>
      <c r="C21" s="8" t="inlineStr">
        <is>
          <t>Регламенты, FAQ, тарифы в RAG</t>
        </is>
      </c>
      <c r="D21" s="6" t="inlineStr">
        <is>
          <t>Подрядчик разметки</t>
        </is>
      </c>
    </row>
    <row r="22">
      <c r="A22" s="6" t="inlineStr">
        <is>
          <t>Сбор и чистка данных</t>
        </is>
      </c>
      <c r="B22" s="7" t="n">
        <v>90000</v>
      </c>
      <c r="C22" s="8" t="inlineStr">
        <is>
          <t>Выгрузки из систем «Гермеса»</t>
        </is>
      </c>
      <c r="D22" s="6" t="inlineStr">
        <is>
          <t>Внутр.</t>
        </is>
      </c>
    </row>
    <row r="23">
      <c r="A23" s="9" t="inlineStr">
        <is>
          <t>ИТОГО данные</t>
        </is>
      </c>
      <c r="B23" s="10">
        <f>SUM(B21:B22)</f>
        <v/>
      </c>
      <c r="C23" s="11" t="n"/>
      <c r="D23" s="11" t="n"/>
    </row>
    <row r="25">
      <c r="A25" s="4" t="inlineStr">
        <is>
          <t>ПРОЧИЕ</t>
        </is>
      </c>
      <c r="B25" s="5" t="n"/>
      <c r="C25" s="5" t="n"/>
      <c r="D25" s="5" t="n"/>
    </row>
    <row r="26">
      <c r="A26" s="6" t="inlineStr">
        <is>
          <t>Дизайн интерфейса ассистента</t>
        </is>
      </c>
      <c r="B26" s="7" t="n">
        <v>80000</v>
      </c>
      <c r="C26" s="8" t="inlineStr">
        <is>
          <t>UI подсказок оператору</t>
        </is>
      </c>
      <c r="D26" s="6" t="inlineStr">
        <is>
          <t>Дизайнер</t>
        </is>
      </c>
    </row>
    <row r="27">
      <c r="A27" s="6" t="inlineStr">
        <is>
          <t>Юридическое сопровождение (договор, NDA, 152-ФЗ)</t>
        </is>
      </c>
      <c r="B27" s="7" t="n">
        <v>60000</v>
      </c>
      <c r="C27" s="8" t="inlineStr">
        <is>
          <t>Проверка договора и ПДн</t>
        </is>
      </c>
      <c r="D27" s="6" t="inlineStr">
        <is>
          <t>Юрфирма</t>
        </is>
      </c>
    </row>
    <row r="28">
      <c r="A28" s="6" t="inlineStr">
        <is>
          <t>Пилот / тестовая эксплуатация</t>
        </is>
      </c>
      <c r="B28" s="7" t="n">
        <v>90000</v>
      </c>
      <c r="C28" s="8" t="inlineStr">
        <is>
          <t>2 недели пилота на части операторов</t>
        </is>
      </c>
      <c r="D28" s="6" t="inlineStr">
        <is>
          <t>Внутр.</t>
        </is>
      </c>
    </row>
    <row r="29">
      <c r="A29" s="6" t="inlineStr">
        <is>
          <t>Резерв на риск (10%)</t>
        </is>
      </c>
      <c r="B29" s="12">
        <f>(SUM(B6:B10)+SUM(B14:B17)+SUM(B21:B22)+SUM(B26:B28))*0.1</f>
        <v/>
      </c>
      <c r="C29" s="8" t="inlineStr">
        <is>
          <t>Формула: 10% от суммы выше</t>
        </is>
      </c>
      <c r="D29" s="6" t="inlineStr">
        <is>
          <t>—</t>
        </is>
      </c>
    </row>
    <row r="30">
      <c r="A30" s="9" t="inlineStr">
        <is>
          <t>ИТОГО прочее</t>
        </is>
      </c>
      <c r="B30" s="10">
        <f>SUM(B26:B29)</f>
        <v/>
      </c>
      <c r="C30" s="11" t="n"/>
      <c r="D30" s="11" t="n"/>
    </row>
    <row r="32">
      <c r="A32" s="13" t="inlineStr">
        <is>
          <t>ВСЕГО ЗАТРАТ НА ПРОЕКТ</t>
        </is>
      </c>
      <c r="B32" s="14">
        <f>B11+B18+B23+B30</f>
        <v/>
      </c>
      <c r="C32" s="15" t="n"/>
      <c r="D32" s="15" t="n"/>
    </row>
    <row r="34">
      <c r="A34" s="9" t="inlineStr">
        <is>
          <t>Стоимость по договору</t>
        </is>
      </c>
      <c r="B34" s="16" t="n">
        <v>6200000</v>
      </c>
      <c r="C34" s="8" t="inlineStr">
        <is>
          <t>Валовая маржа ≈ 40% — ниже целевых 45% по ПС-01, разобрать</t>
        </is>
      </c>
      <c r="D34" s="11" t="n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50" customWidth="1" min="3" max="3"/>
  </cols>
  <sheetData>
    <row r="1">
      <c r="A1" s="17" t="inlineStr">
        <is>
          <t>Прогнозные ежемесячные расходы на поддержку (после запуска в прод)</t>
        </is>
      </c>
    </row>
    <row r="2">
      <c r="A2" s="2" t="inlineStr">
        <is>
          <t>Внимание: SLA-ставку заказчика (380 000 ₽/мес) сверить с договором</t>
        </is>
      </c>
    </row>
    <row r="4">
      <c r="A4" s="3" t="inlineStr">
        <is>
          <t>Статья</t>
        </is>
      </c>
      <c r="B4" s="3" t="inlineStr">
        <is>
          <t>Сумма, ₽/мес</t>
        </is>
      </c>
      <c r="C4" s="3" t="inlineStr">
        <is>
          <t>Комментарий</t>
        </is>
      </c>
    </row>
    <row r="5">
      <c r="A5" s="6" t="inlineStr">
        <is>
          <t>Инференс / LLM API (прод)</t>
        </is>
      </c>
      <c r="B5" s="7" t="n">
        <v>95000</v>
      </c>
      <c r="C5" s="8" t="inlineStr">
        <is>
          <t>МодельАПИ, ~ объём прод-трафика</t>
        </is>
      </c>
    </row>
    <row r="6">
      <c r="A6" s="6" t="inlineStr">
        <is>
          <t>Облако / инфра (прод)</t>
        </is>
      </c>
      <c r="B6" s="7" t="n">
        <v>38000</v>
      </c>
      <c r="C6" s="8" t="inlineStr">
        <is>
          <t>Прод-среда</t>
        </is>
      </c>
    </row>
    <row r="7">
      <c r="A7" s="6" t="inlineStr">
        <is>
          <t>Vector DB / хранилище</t>
        </is>
      </c>
      <c r="B7" s="7" t="n">
        <v>16000</v>
      </c>
      <c r="C7" s="8" t="inlineStr">
        <is>
          <t>VectoDB</t>
        </is>
      </c>
    </row>
    <row r="8">
      <c r="A8" s="6" t="inlineStr">
        <is>
          <t>Мониторинг и алертинг</t>
        </is>
      </c>
      <c r="B8" s="7" t="n">
        <v>11000</v>
      </c>
      <c r="C8" s="8" t="inlineStr">
        <is>
          <t>Логи, дашборды качества</t>
        </is>
      </c>
    </row>
    <row r="9">
      <c r="A9" s="6" t="inlineStr">
        <is>
          <t>Поддержка (инженер, частичная занятость)</t>
        </is>
      </c>
      <c r="B9" s="7" t="n">
        <v>70000</v>
      </c>
      <c r="C9" s="8" t="inlineStr">
        <is>
          <t>Инциденты, дообучение, обновление базы</t>
        </is>
      </c>
    </row>
    <row r="10">
      <c r="A10" s="9" t="inlineStr">
        <is>
          <t>ИТОГО ежемесячно</t>
        </is>
      </c>
      <c r="B10" s="10">
        <f>SUM(B5:B9)</f>
        <v/>
      </c>
      <c r="C10" s="11" t="n"/>
    </row>
    <row r="12">
      <c r="A12" s="2" t="inlineStr">
        <is>
          <t>Справочно: SLA-платёж заказчика 380 000 ₽/мес → поддержка прибыльна.</t>
        </is>
      </c>
    </row>
  </sheetData>
  <mergeCells count="3">
    <mergeCell ref="A1:C1"/>
    <mergeCell ref="A2:C2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2026-06-30T09:41:43Z</dcterms:created>
  <dcterms:modified xmlns:dcterms="http://purl.org/dc/terms/" xmlns:xsi="http://www.w3.org/2001/XMLSchema-instance" xsi:type="dcterms:W3CDTF">2026-06-30T09:41:43Z</dcterms:modified>
</cp:coreProperties>
</file>