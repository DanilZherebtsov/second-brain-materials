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ртовый бюджет" sheetId="1" state="visible" r:id="rId3"/>
    <sheet name="Месячные расход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<sst xmlns="http://schemas.openxmlformats.org/spreadsheetml/2006/main" count="102" uniqueCount="93">
  <si>
    <t xml:space="preserve">Кофейня «Ладья» — вторая точка. Стартовый бюджет</t>
  </si>
  <si>
    <t xml:space="preserve">Версия от 30.04.2026 — черновик, цифры от прораба и поставщиков, не финал</t>
  </si>
  <si>
    <t xml:space="preserve">Статья расходов</t>
  </si>
  <si>
    <t xml:space="preserve">Сумма, ₽</t>
  </si>
  <si>
    <t xml:space="preserve">Комментарий</t>
  </si>
  <si>
    <t xml:space="preserve">Поставщик / источник</t>
  </si>
  <si>
    <t xml:space="preserve">РЕМОНТ И ОТДЕЛКА</t>
  </si>
  <si>
    <t xml:space="preserve">Демонтаж и подготовка</t>
  </si>
  <si>
    <t xml:space="preserve">Снос перегородок, вывоз мусора</t>
  </si>
  <si>
    <t xml:space="preserve">Прораб Виктор</t>
  </si>
  <si>
    <t xml:space="preserve">Электрика (с учётом усиления)</t>
  </si>
  <si>
    <t xml:space="preserve">Включая отдельную линию на кофемашину</t>
  </si>
  <si>
    <t xml:space="preserve">Сантехника</t>
  </si>
  <si>
    <t xml:space="preserve">Замена труб, новые санузлы</t>
  </si>
  <si>
    <t xml:space="preserve">Вентиляция и вытяжка</t>
  </si>
  <si>
    <t xml:space="preserve">Кофейная вытяжка отдельно</t>
  </si>
  <si>
    <t xml:space="preserve">ВентСтрой ООО</t>
  </si>
  <si>
    <t xml:space="preserve">Отделка стен и потолок</t>
  </si>
  <si>
    <t xml:space="preserve">Покраска, гипсокартон</t>
  </si>
  <si>
    <t xml:space="preserve">Напольное покрытие</t>
  </si>
  <si>
    <t xml:space="preserve">Керамогранит + ламинат в гостевой зоне</t>
  </si>
  <si>
    <t xml:space="preserve">Дизайн-проект</t>
  </si>
  <si>
    <t xml:space="preserve">Включая авторский надзор</t>
  </si>
  <si>
    <t xml:space="preserve">Студия Артеменко</t>
  </si>
  <si>
    <t xml:space="preserve">Прочее по ремонту (резерв 10%)</t>
  </si>
  <si>
    <t xml:space="preserve">Формула</t>
  </si>
  <si>
    <t xml:space="preserve">ИТОГО ремонт</t>
  </si>
  <si>
    <t xml:space="preserve">ОБОРУДОВАНИЕ</t>
  </si>
  <si>
    <t xml:space="preserve">Кофемашина La Marzocco Linea PB</t>
  </si>
  <si>
    <t xml:space="preserve">Новая, с гарантией 2 года</t>
  </si>
  <si>
    <t xml:space="preserve">CoffeeProject</t>
  </si>
  <si>
    <t xml:space="preserve">Кофемолка Mahlkonig E65S (2 шт)</t>
  </si>
  <si>
    <t xml:space="preserve">2 штуки — фильтр и эспрессо</t>
  </si>
  <si>
    <t xml:space="preserve">Холодильное оборудование</t>
  </si>
  <si>
    <t xml:space="preserve">Витрина + два холодильника</t>
  </si>
  <si>
    <t xml:space="preserve">РестоТех</t>
  </si>
  <si>
    <t xml:space="preserve">Печь конвекционная</t>
  </si>
  <si>
    <t xml:space="preserve">Для выпечки и завтраков</t>
  </si>
  <si>
    <t xml:space="preserve">Посудомоечная машина</t>
  </si>
  <si>
    <t xml:space="preserve">Профессиональная, фронтальная</t>
  </si>
  <si>
    <t xml:space="preserve">Кассовое оборудование + ПО</t>
  </si>
  <si>
    <t xml:space="preserve">Касса, терминал, сканер, iiko</t>
  </si>
  <si>
    <t xml:space="preserve">iiko Партнёр</t>
  </si>
  <si>
    <t xml:space="preserve">Мебель (столы, стулья, кресла, барная)</t>
  </si>
  <si>
    <t xml:space="preserve">По дизайн-проекту</t>
  </si>
  <si>
    <t xml:space="preserve">Производство на заказ</t>
  </si>
  <si>
    <t xml:space="preserve">Посуда и инвентарь</t>
  </si>
  <si>
    <t xml:space="preserve">Стартовый комплект на 22 посадки</t>
  </si>
  <si>
    <t xml:space="preserve">ИТОГО оборудование</t>
  </si>
  <si>
    <t xml:space="preserve">ПРОЧИЕ СТАРТОВЫЕ</t>
  </si>
  <si>
    <t xml:space="preserve">Депозит и аренда за 2 месяца</t>
  </si>
  <si>
    <t xml:space="preserve">Зависит от выбранной локации — ПОДСТАВИТЬ!</t>
  </si>
  <si>
    <t xml:space="preserve">См. лист «Сравнение локаций»</t>
  </si>
  <si>
    <t xml:space="preserve">Юридические услуги</t>
  </si>
  <si>
    <t xml:space="preserve">Регистрация, договоры, проверка</t>
  </si>
  <si>
    <t xml:space="preserve">Юр.фирма «Право+»</t>
  </si>
  <si>
    <t xml:space="preserve">Брендинг и айдентика</t>
  </si>
  <si>
    <t xml:space="preserve">Адаптация бренда под вторую точку</t>
  </si>
  <si>
    <t xml:space="preserve">Дизайнер Иванова</t>
  </si>
  <si>
    <t xml:space="preserve">Маркетинг к открытию</t>
  </si>
  <si>
    <t xml:space="preserve">Реклама, открытие, первая партия акций</t>
  </si>
  <si>
    <t xml:space="preserve">SMM Анна + офлайн</t>
  </si>
  <si>
    <t xml:space="preserve">Стартовый запас продукции</t>
  </si>
  <si>
    <t xml:space="preserve">Зерно, молоко, сиропы, выпечка на 2 недели</t>
  </si>
  <si>
    <t xml:space="preserve">Поставщики</t>
  </si>
  <si>
    <t xml:space="preserve">Обучение персонала</t>
  </si>
  <si>
    <t xml:space="preserve">Бариста + общий тренинг сервиса</t>
  </si>
  <si>
    <t xml:space="preserve">Школа кофе</t>
  </si>
  <si>
    <t xml:space="preserve">Резерв на непредвиденное</t>
  </si>
  <si>
    <t xml:space="preserve">Подушка</t>
  </si>
  <si>
    <t xml:space="preserve">—</t>
  </si>
  <si>
    <t xml:space="preserve">ИТОГО прочее</t>
  </si>
  <si>
    <t xml:space="preserve">ВСЕГО ИНВЕСТИЦИЙ</t>
  </si>
  <si>
    <t xml:space="preserve">Прогнозные ежемесячные расходы (после открытия)</t>
  </si>
  <si>
    <t xml:space="preserve">Внимание: цифры по аренде ПОДСТАВИТЬ из листа «Сравнение локаций»</t>
  </si>
  <si>
    <t xml:space="preserve">Статья</t>
  </si>
  <si>
    <t xml:space="preserve">Сумма, ₽/мес</t>
  </si>
  <si>
    <t xml:space="preserve">Аренда</t>
  </si>
  <si>
    <t xml:space="preserve">ПОДСТАВИТЬ из выбранной локации</t>
  </si>
  <si>
    <t xml:space="preserve">КУ</t>
  </si>
  <si>
    <t xml:space="preserve">Свет, вода, отопление, интернет</t>
  </si>
  <si>
    <t xml:space="preserve">ФОТ (5 человек)</t>
  </si>
  <si>
    <t xml:space="preserve">2 бариста, 2 кассира-помощника, 1 управляющий</t>
  </si>
  <si>
    <t xml:space="preserve">Налоги с ФОТ</t>
  </si>
  <si>
    <t xml:space="preserve">~30% от ФОТ</t>
  </si>
  <si>
    <t xml:space="preserve">Закупка продуктов</t>
  </si>
  <si>
    <t xml:space="preserve">Зерно, молоко, выпечка, сиропы, расходники</t>
  </si>
  <si>
    <t xml:space="preserve">Эквайринг (2.5%)</t>
  </si>
  <si>
    <t xml:space="preserve">От прогнозируемой выручки 3.5 млн</t>
  </si>
  <si>
    <t xml:space="preserve">Маркетинг</t>
  </si>
  <si>
    <t xml:space="preserve">SMM, реклама, акции</t>
  </si>
  <si>
    <t xml:space="preserve">Прочие (амортизация, бухгалтерия, мелкое)</t>
  </si>
  <si>
    <t xml:space="preserve">ИТОГО ежемесячно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</si>
</sst>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;\(#,##0&quot; ₽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E4E"/>
        <bgColor rgb="FF666666"/>
      </patternFill>
    </fill>
    <fill>
      <patternFill patternType="solid">
        <fgColor rgb="FFD5E8E0"/>
        <bgColor rgb="FFF0F0F0"/>
      </patternFill>
    </fill>
    <fill>
      <patternFill patternType="solid">
        <fgColor rgb="FFF0F0F0"/>
        <bgColor rgb="FFFFF9D6"/>
      </patternFill>
    </fill>
    <fill>
      <patternFill patternType="solid">
        <fgColor rgb="FFFFF9D6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D6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/>
      <c r="C5" s="4"/>
      <c r="D5" s="4"/>
    </row>
    <row r="6" customFormat="false" ht="15" hidden="false" customHeight="false" outlineLevel="0" collapsed="false">
      <c r="A6" s="5" t="s">
        <v>7</v>
      </c>
      <c r="B6" s="6" t="n">
        <v>180000</v>
      </c>
      <c r="C6" s="7" t="s">
        <v>8</v>
      </c>
      <c r="D6" s="5" t="s">
        <v>9</v>
      </c>
    </row>
    <row r="7" customFormat="false" ht="15" hidden="false" customHeight="false" outlineLevel="0" collapsed="false">
      <c r="A7" s="5" t="s">
        <v>10</v>
      </c>
      <c r="B7" s="6" t="n">
        <v>320000</v>
      </c>
      <c r="C7" s="7" t="s">
        <v>11</v>
      </c>
      <c r="D7" s="5" t="s">
        <v>9</v>
      </c>
    </row>
    <row r="8" customFormat="false" ht="15" hidden="false" customHeight="false" outlineLevel="0" collapsed="false">
      <c r="A8" s="5" t="s">
        <v>12</v>
      </c>
      <c r="B8" s="6" t="n">
        <v>145000</v>
      </c>
      <c r="C8" s="7" t="s">
        <v>13</v>
      </c>
      <c r="D8" s="5" t="s">
        <v>9</v>
      </c>
    </row>
    <row r="9" customFormat="false" ht="15" hidden="false" customHeight="false" outlineLevel="0" collapsed="false">
      <c r="A9" s="5" t="s">
        <v>14</v>
      </c>
      <c r="B9" s="6" t="n">
        <v>280000</v>
      </c>
      <c r="C9" s="7" t="s">
        <v>15</v>
      </c>
      <c r="D9" s="5" t="s">
        <v>16</v>
      </c>
    </row>
    <row r="10" customFormat="false" ht="15" hidden="false" customHeight="false" outlineLevel="0" collapsed="false">
      <c r="A10" s="5" t="s">
        <v>17</v>
      </c>
      <c r="B10" s="6" t="n">
        <v>215000</v>
      </c>
      <c r="C10" s="7" t="s">
        <v>18</v>
      </c>
      <c r="D10" s="5" t="s">
        <v>9</v>
      </c>
    </row>
    <row r="11" customFormat="false" ht="15" hidden="false" customHeight="false" outlineLevel="0" collapsed="false">
      <c r="A11" s="5" t="s">
        <v>19</v>
      </c>
      <c r="B11" s="6" t="n">
        <v>175000</v>
      </c>
      <c r="C11" s="7" t="s">
        <v>20</v>
      </c>
      <c r="D11" s="5" t="s">
        <v>9</v>
      </c>
    </row>
    <row r="12" customFormat="false" ht="15" hidden="false" customHeight="false" outlineLevel="0" collapsed="false">
      <c r="A12" s="5" t="s">
        <v>21</v>
      </c>
      <c r="B12" s="6" t="n">
        <v>220000</v>
      </c>
      <c r="C12" s="7" t="s">
        <v>22</v>
      </c>
      <c r="D12" s="5" t="s">
        <v>23</v>
      </c>
    </row>
    <row r="13" customFormat="false" ht="15" hidden="false" customHeight="false" outlineLevel="0" collapsed="false">
      <c r="A13" s="5" t="s">
        <v>24</v>
      </c>
      <c r="B13" s="8" t="n">
        <f aca="false">SUM(B6:B12)*0.1</f>
        <v>153500</v>
      </c>
      <c r="C13" s="7" t="s">
        <v>25</v>
      </c>
    </row>
    <row r="14" customFormat="false" ht="15" hidden="false" customHeight="false" outlineLevel="0" collapsed="false">
      <c r="A14" s="9" t="s">
        <v>26</v>
      </c>
      <c r="B14" s="10" t="n">
        <f aca="false">SUM(B6:B13)</f>
        <v>1688500</v>
      </c>
    </row>
    <row r="16" customFormat="false" ht="15" hidden="false" customHeight="false" outlineLevel="0" collapsed="false">
      <c r="A16" s="4" t="s">
        <v>27</v>
      </c>
      <c r="B16" s="4"/>
      <c r="C16" s="4"/>
      <c r="D16" s="4"/>
    </row>
    <row r="17" customFormat="false" ht="15" hidden="false" customHeight="false" outlineLevel="0" collapsed="false">
      <c r="A17" s="5" t="s">
        <v>28</v>
      </c>
      <c r="B17" s="6" t="n">
        <v>850000</v>
      </c>
      <c r="C17" s="7" t="s">
        <v>29</v>
      </c>
      <c r="D17" s="5" t="s">
        <v>30</v>
      </c>
    </row>
    <row r="18" customFormat="false" ht="15" hidden="false" customHeight="false" outlineLevel="0" collapsed="false">
      <c r="A18" s="5" t="s">
        <v>31</v>
      </c>
      <c r="B18" s="6" t="n">
        <v>240000</v>
      </c>
      <c r="C18" s="7" t="s">
        <v>32</v>
      </c>
      <c r="D18" s="5" t="s">
        <v>30</v>
      </c>
    </row>
    <row r="19" customFormat="false" ht="15" hidden="false" customHeight="false" outlineLevel="0" collapsed="false">
      <c r="A19" s="5" t="s">
        <v>33</v>
      </c>
      <c r="B19" s="6" t="n">
        <v>320000</v>
      </c>
      <c r="C19" s="7" t="s">
        <v>34</v>
      </c>
      <c r="D19" s="5" t="s">
        <v>35</v>
      </c>
    </row>
    <row r="20" customFormat="false" ht="15" hidden="false" customHeight="false" outlineLevel="0" collapsed="false">
      <c r="A20" s="5" t="s">
        <v>36</v>
      </c>
      <c r="B20" s="6" t="n">
        <v>185000</v>
      </c>
      <c r="C20" s="7" t="s">
        <v>37</v>
      </c>
      <c r="D20" s="5" t="s">
        <v>35</v>
      </c>
    </row>
    <row r="21" customFormat="false" ht="15" hidden="false" customHeight="false" outlineLevel="0" collapsed="false">
      <c r="A21" s="5" t="s">
        <v>38</v>
      </c>
      <c r="B21" s="6" t="n">
        <v>95000</v>
      </c>
      <c r="C21" s="7" t="s">
        <v>39</v>
      </c>
      <c r="D21" s="5" t="s">
        <v>35</v>
      </c>
    </row>
    <row r="22" customFormat="false" ht="15" hidden="false" customHeight="false" outlineLevel="0" collapsed="false">
      <c r="A22" s="5" t="s">
        <v>40</v>
      </c>
      <c r="B22" s="6" t="n">
        <v>75000</v>
      </c>
      <c r="C22" s="7" t="s">
        <v>41</v>
      </c>
      <c r="D22" s="5" t="s">
        <v>42</v>
      </c>
    </row>
    <row r="23" customFormat="false" ht="15" hidden="false" customHeight="false" outlineLevel="0" collapsed="false">
      <c r="A23" s="5" t="s">
        <v>43</v>
      </c>
      <c r="B23" s="6" t="n">
        <v>450000</v>
      </c>
      <c r="C23" s="7" t="s">
        <v>44</v>
      </c>
      <c r="D23" s="5" t="s">
        <v>45</v>
      </c>
    </row>
    <row r="24" customFormat="false" ht="15" hidden="false" customHeight="false" outlineLevel="0" collapsed="false">
      <c r="A24" s="5" t="s">
        <v>46</v>
      </c>
      <c r="B24" s="6" t="n">
        <v>125000</v>
      </c>
      <c r="C24" s="7" t="s">
        <v>47</v>
      </c>
      <c r="D24" s="5" t="s">
        <v>35</v>
      </c>
    </row>
    <row r="25" customFormat="false" ht="15" hidden="false" customHeight="false" outlineLevel="0" collapsed="false">
      <c r="A25" s="9" t="s">
        <v>48</v>
      </c>
      <c r="B25" s="10" t="n">
        <f aca="false">SUM(B17:B24)</f>
        <v>2340000</v>
      </c>
    </row>
    <row r="27" customFormat="false" ht="15" hidden="false" customHeight="false" outlineLevel="0" collapsed="false">
      <c r="A27" s="4" t="s">
        <v>49</v>
      </c>
      <c r="B27" s="4"/>
      <c r="C27" s="4"/>
      <c r="D27" s="4"/>
    </row>
    <row r="28" customFormat="false" ht="15" hidden="false" customHeight="false" outlineLevel="0" collapsed="false">
      <c r="A28" s="5" t="s">
        <v>50</v>
      </c>
      <c r="B28" s="11" t="n">
        <v>660000</v>
      </c>
      <c r="C28" s="7" t="s">
        <v>51</v>
      </c>
      <c r="D28" s="5" t="s">
        <v>52</v>
      </c>
    </row>
    <row r="29" customFormat="false" ht="15" hidden="false" customHeight="false" outlineLevel="0" collapsed="false">
      <c r="A29" s="5" t="s">
        <v>53</v>
      </c>
      <c r="B29" s="6" t="n">
        <v>60000</v>
      </c>
      <c r="C29" s="7" t="s">
        <v>54</v>
      </c>
      <c r="D29" s="5" t="s">
        <v>55</v>
      </c>
    </row>
    <row r="30" customFormat="false" ht="15" hidden="false" customHeight="false" outlineLevel="0" collapsed="false">
      <c r="A30" s="5" t="s">
        <v>56</v>
      </c>
      <c r="B30" s="6" t="n">
        <v>90000</v>
      </c>
      <c r="C30" s="7" t="s">
        <v>57</v>
      </c>
      <c r="D30" s="5" t="s">
        <v>58</v>
      </c>
    </row>
    <row r="31" customFormat="false" ht="15" hidden="false" customHeight="false" outlineLevel="0" collapsed="false">
      <c r="A31" s="5" t="s">
        <v>59</v>
      </c>
      <c r="B31" s="6" t="n">
        <v>180000</v>
      </c>
      <c r="C31" s="7" t="s">
        <v>60</v>
      </c>
      <c r="D31" s="5" t="s">
        <v>61</v>
      </c>
    </row>
    <row r="32" customFormat="false" ht="15" hidden="false" customHeight="false" outlineLevel="0" collapsed="false">
      <c r="A32" s="5" t="s">
        <v>62</v>
      </c>
      <c r="B32" s="6" t="n">
        <v>220000</v>
      </c>
      <c r="C32" s="7" t="s">
        <v>63</v>
      </c>
      <c r="D32" s="5" t="s">
        <v>64</v>
      </c>
    </row>
    <row r="33" customFormat="false" ht="15" hidden="false" customHeight="false" outlineLevel="0" collapsed="false">
      <c r="A33" s="5" t="s">
        <v>65</v>
      </c>
      <c r="B33" s="6" t="n">
        <v>75000</v>
      </c>
      <c r="C33" s="7" t="s">
        <v>66</v>
      </c>
      <c r="D33" s="5" t="s">
        <v>67</v>
      </c>
    </row>
    <row r="34" customFormat="false" ht="15" hidden="false" customHeight="false" outlineLevel="0" collapsed="false">
      <c r="A34" s="5" t="s">
        <v>68</v>
      </c>
      <c r="B34" s="6" t="n">
        <v>300000</v>
      </c>
      <c r="C34" s="7" t="s">
        <v>69</v>
      </c>
      <c r="D34" s="5" t="s">
        <v>70</v>
      </c>
    </row>
    <row r="35" customFormat="false" ht="15" hidden="false" customHeight="false" outlineLevel="0" collapsed="false">
      <c r="A35" s="9" t="s">
        <v>71</v>
      </c>
      <c r="B35" s="10" t="n">
        <f aca="false">SUM(B28:B34)</f>
        <v>1585000</v>
      </c>
    </row>
    <row r="37" customFormat="false" ht="15" hidden="false" customHeight="false" outlineLevel="0" collapsed="false">
      <c r="A37" s="12" t="s">
        <v>72</v>
      </c>
      <c r="B37" s="13" t="n">
        <f aca="false">B14+B25+B35</f>
        <v>5613500</v>
      </c>
    </row>
  </sheetData>
  <mergeCells count="5">
    <mergeCell ref="A1:D1"/>
    <mergeCell ref="A2:D2"/>
    <mergeCell ref="A5:D5"/>
    <mergeCell ref="A16:D1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4" t="s">
        <v>73</v>
      </c>
      <c r="B1" s="14"/>
      <c r="C1" s="14"/>
    </row>
    <row r="2" customFormat="false" ht="15" hidden="false" customHeight="false" outlineLevel="0" collapsed="false">
      <c r="A2" s="2" t="s">
        <v>74</v>
      </c>
      <c r="B2" s="2"/>
      <c r="C2" s="2"/>
    </row>
    <row r="4" customFormat="false" ht="15" hidden="false" customHeight="false" outlineLevel="0" collapsed="false">
      <c r="A4" s="12" t="s">
        <v>75</v>
      </c>
      <c r="B4" s="12" t="s">
        <v>76</v>
      </c>
      <c r="C4" s="12" t="s">
        <v>4</v>
      </c>
    </row>
    <row r="5" customFormat="false" ht="15" hidden="false" customHeight="false" outlineLevel="0" collapsed="false">
      <c r="A5" s="5" t="s">
        <v>77</v>
      </c>
      <c r="B5" s="6" t="n">
        <v>220000</v>
      </c>
      <c r="C5" s="7" t="s">
        <v>78</v>
      </c>
    </row>
    <row r="6" customFormat="false" ht="15" hidden="false" customHeight="false" outlineLevel="0" collapsed="false">
      <c r="A6" s="5" t="s">
        <v>79</v>
      </c>
      <c r="B6" s="6" t="n">
        <v>25000</v>
      </c>
      <c r="C6" s="7" t="s">
        <v>80</v>
      </c>
    </row>
    <row r="7" customFormat="false" ht="15" hidden="false" customHeight="false" outlineLevel="0" collapsed="false">
      <c r="A7" s="5" t="s">
        <v>81</v>
      </c>
      <c r="B7" s="6" t="n">
        <v>380000</v>
      </c>
      <c r="C7" s="7" t="s">
        <v>82</v>
      </c>
    </row>
    <row r="8" customFormat="false" ht="15" hidden="false" customHeight="false" outlineLevel="0" collapsed="false">
      <c r="A8" s="5" t="s">
        <v>83</v>
      </c>
      <c r="B8" s="6" t="n">
        <v>114000</v>
      </c>
      <c r="C8" s="7" t="s">
        <v>84</v>
      </c>
    </row>
    <row r="9" customFormat="false" ht="15" hidden="false" customHeight="false" outlineLevel="0" collapsed="false">
      <c r="A9" s="5" t="s">
        <v>85</v>
      </c>
      <c r="B9" s="6" t="n">
        <v>520000</v>
      </c>
      <c r="C9" s="7" t="s">
        <v>86</v>
      </c>
    </row>
    <row r="10" customFormat="false" ht="15" hidden="false" customHeight="false" outlineLevel="0" collapsed="false">
      <c r="A10" s="5" t="s">
        <v>87</v>
      </c>
      <c r="B10" s="6" t="n">
        <v>87500</v>
      </c>
      <c r="C10" s="7" t="s">
        <v>88</v>
      </c>
    </row>
    <row r="11" customFormat="false" ht="15" hidden="false" customHeight="false" outlineLevel="0" collapsed="false">
      <c r="A11" s="5" t="s">
        <v>89</v>
      </c>
      <c r="B11" s="6" t="n">
        <v>50000</v>
      </c>
      <c r="C11" s="7" t="s">
        <v>90</v>
      </c>
    </row>
    <row r="12" customFormat="false" ht="15" hidden="false" customHeight="false" outlineLevel="0" collapsed="false">
      <c r="A12" s="5" t="s">
        <v>91</v>
      </c>
      <c r="B12" s="6" t="n">
        <v>65000</v>
      </c>
      <c r="C12" s="7"/>
    </row>
    <row r="13" customFormat="false" ht="15" hidden="false" customHeight="false" outlineLevel="0" collapsed="false">
      <c r="A13" s="9" t="s">
        <v>92</v>
      </c>
      <c r="B13" s="10" t="n">
        <f aca="false">SUM(B5:B12)</f>
        <v>1461500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2026-05-08T10:03:54Z</dcterms:created>
  <dc:creator>openpyxl</dc:creator>
  <dc:description/>
  <dc:language>en-US</dc:language>
  <cp:lastModifiedBy/>
  <dcterms:modified xsi:type="dcterms:W3CDTF">2026-05-08T10:03:54Z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