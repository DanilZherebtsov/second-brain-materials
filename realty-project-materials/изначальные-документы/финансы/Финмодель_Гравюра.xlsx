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 и маржа" sheetId="1" state="visible" r:id="rId1"/>
    <sheet xmlns:r="http://schemas.openxmlformats.org/officeDocument/2006/relationships" name="Денежный поток на С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13">
    <font>
      <name val="Calibri"/>
      <family val="2"/>
      <color theme="1"/>
      <sz val="11"/>
      <scheme val="minor"/>
    </font>
    <font>
      <b val="1"/>
      <color rgb="0022201D"/>
      <sz val="14"/>
    </font>
    <font>
      <i val="1"/>
      <color rgb="006B655C"/>
      <sz val="10"/>
    </font>
    <font>
      <b val="1"/>
      <color rgb="00F7F4EE"/>
      <sz val="11"/>
    </font>
    <font>
      <b val="1"/>
      <color rgb="0022201D"/>
      <sz val="11"/>
    </font>
    <font>
      <sz val="11"/>
    </font>
    <font>
      <color rgb="001A1A8C"/>
      <sz val="11"/>
    </font>
    <font>
      <color rgb="006B655C"/>
      <sz val="10"/>
    </font>
    <font>
      <sz val="10"/>
    </font>
    <font>
      <b val="1"/>
      <color rgb="0022201D"/>
      <sz val="10"/>
    </font>
    <font>
      <color rgb="00000000"/>
      <sz val="11"/>
    </font>
    <font>
      <i val="1"/>
      <color rgb="006B655C"/>
      <sz val="9"/>
    </font>
    <font>
      <color rgb="0022201D"/>
      <sz val="10"/>
    </font>
  </fonts>
  <fills count="5">
    <fill>
      <patternFill/>
    </fill>
    <fill>
      <patternFill patternType="gray125"/>
    </fill>
    <fill>
      <patternFill patternType="solid">
        <fgColor rgb="0022201D"/>
      </patternFill>
    </fill>
    <fill>
      <patternFill patternType="solid">
        <fgColor rgb="00ECE6DC"/>
      </patternFill>
    </fill>
    <fill>
      <patternFill patternType="solid">
        <fgColor rgb="00E8DCCB"/>
      </patternFill>
    </fill>
  </fills>
  <borders count="2">
    <border>
      <left/>
      <right/>
      <top/>
      <bottom/>
      <diagonal/>
    </border>
    <border>
      <bottom style="thin">
        <color rgb="00D8CFC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3" fontId="6" fillId="0" borderId="1" pivotButton="0" quotePrefix="0" xfId="0"/>
    <xf numFmtId="164" fontId="7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4" fillId="4" borderId="0" pivotButton="0" quotePrefix="0" xfId="0"/>
    <xf numFmtId="3" fontId="4" fillId="4" borderId="0" pivotButton="0" quotePrefix="0" xfId="0"/>
    <xf numFmtId="164" fontId="9" fillId="4" borderId="0" pivotButton="0" quotePrefix="0" xfId="0"/>
    <xf numFmtId="0" fontId="0" fillId="4" borderId="0" pivotButton="0" quotePrefix="0" xfId="0"/>
    <xf numFmtId="3" fontId="10" fillId="0" borderId="1" pivotButton="0" quotePrefix="0" xfId="0"/>
    <xf numFmtId="164" fontId="4" fillId="4" borderId="0" pivotButton="0" quotePrefix="0" xfId="0"/>
    <xf numFmtId="0" fontId="9" fillId="4" borderId="0" pivotButton="0" quotePrefix="0" xfId="0"/>
    <xf numFmtId="0" fontId="11" fillId="0" borderId="0" pivotButton="0" quotePrefix="0" xfId="0"/>
    <xf numFmtId="0" fontId="3" fillId="2" borderId="0" pivotButton="0" quotePrefix="0" xfId="0"/>
    <xf numFmtId="165" fontId="6" fillId="0" borderId="1" pivotButton="0" quotePrefix="0" xfId="0"/>
    <xf numFmtId="165" fontId="0" fillId="0" borderId="1" pivotButton="0" quotePrefix="0" xfId="0"/>
    <xf numFmtId="0" fontId="12" fillId="4" borderId="0" pivotButton="0" quotePrefix="0" xfId="0"/>
    <xf numFmtId="1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5" customWidth="1" min="3" max="3"/>
    <col width="58" customWidth="1" min="4" max="4"/>
    <col width="24" customWidth="1" min="5" max="5"/>
  </cols>
  <sheetData>
    <row r="1">
      <c r="A1" s="1" t="inlineStr">
        <is>
          <t>Клубный дом «Гравюра» — финансовая модель проекта. Бюджет и маржа, ₽</t>
        </is>
      </c>
    </row>
    <row r="2">
      <c r="A2" s="2" t="inlineStr">
        <is>
          <t>Версия от 01.09.2026, Д. Воробьёв. Черновик к инвесткомитету</t>
        </is>
      </c>
    </row>
    <row r="4" ht="20" customHeight="1">
      <c r="A4" s="3" t="inlineStr">
        <is>
          <t>Статья</t>
        </is>
      </c>
      <c r="B4" s="3" t="inlineStr">
        <is>
          <t>Сумма, ₽</t>
        </is>
      </c>
      <c r="C4" s="3" t="inlineStr">
        <is>
          <t>Доля в выручке</t>
        </is>
      </c>
      <c r="D4" s="3" t="inlineStr">
        <is>
          <t>Комментарий</t>
        </is>
      </c>
      <c r="E4" s="3" t="inlineStr">
        <is>
          <t>Источник / ответственный</t>
        </is>
      </c>
    </row>
    <row r="5">
      <c r="A5" s="4" t="inlineStr">
        <is>
          <t>ВЫРУЧКА</t>
        </is>
      </c>
      <c r="B5" s="5" t="n"/>
      <c r="C5" s="5" t="n"/>
      <c r="D5" s="5" t="n"/>
      <c r="E5" s="5" t="n"/>
    </row>
    <row r="6">
      <c r="A6" s="6" t="inlineStr">
        <is>
          <t>Выручка: корпус А (2 060 м² × 1 940 000 ₽/м²)</t>
        </is>
      </c>
      <c r="B6" s="7">
        <f>2060*1940000</f>
        <v>3996400000.0</v>
      </c>
      <c r="C6" s="8">
        <f>B6/$B$11</f>
        <v>0.2566417713959119</v>
      </c>
      <c r="D6" s="9" t="inlineStr">
        <is>
          <t>По средней цене сделок корпуса А</t>
        </is>
      </c>
      <c r="E6" s="10" t="inlineStr">
        <is>
          <t>Белкина</t>
        </is>
      </c>
    </row>
    <row r="7">
      <c r="A7" s="6" t="inlineStr">
        <is>
          <t>Выручка: корпус Б, резиденции (3 950 м² × 2 250 000 ₽/м²)</t>
        </is>
      </c>
      <c r="B7" s="7">
        <f>3950*2250000</f>
        <v>8887500000.0</v>
      </c>
      <c r="C7" s="8">
        <f>B7/$B$11</f>
        <v>0.5707396014616071</v>
      </c>
      <c r="D7" s="9" t="inlineStr">
        <is>
          <t>Базовая цена резиденций в модели; старт продаж 15.10.2026</t>
        </is>
      </c>
      <c r="E7" s="10" t="inlineStr">
        <is>
          <t>КД / Воробьёв</t>
        </is>
      </c>
    </row>
    <row r="8">
      <c r="A8" s="6" t="inlineStr">
        <is>
          <t>Выручка: пентхаусы (590 м² × 2 800 000 ₽/м²)</t>
        </is>
      </c>
      <c r="B8" s="7">
        <f>590*2800000</f>
        <v>1652000000.0</v>
      </c>
      <c r="C8" s="8">
        <f>B8/$B$11</f>
        <v>0.10608853126464979</v>
      </c>
      <c r="D8" s="9" t="inlineStr">
        <is>
          <t>2 пентхауса: 280 и 310 м²</t>
        </is>
      </c>
      <c r="E8" s="10" t="inlineStr">
        <is>
          <t>КД / Воробьёв</t>
        </is>
      </c>
    </row>
    <row r="9">
      <c r="A9" s="6" t="inlineStr">
        <is>
          <t>Выручка: машино-места (64 × 14 000 000 ₽)</t>
        </is>
      </c>
      <c r="B9" s="7">
        <f>64*14000000</f>
        <v>896000000.0</v>
      </c>
      <c r="C9" s="8">
        <f>B9/$B$11</f>
        <v>0.057539542380827</v>
      </c>
      <c r="D9" s="9" t="inlineStr">
        <is>
          <t>Паркинг — 2 подземных уровня</t>
        </is>
      </c>
      <c r="E9" s="10" t="inlineStr">
        <is>
          <t>КД</t>
        </is>
      </c>
    </row>
    <row r="10">
      <c r="A10" s="6" t="inlineStr">
        <is>
          <t>Выручка: кладовые (40 × 3 500 000 ₽)</t>
        </is>
      </c>
      <c r="B10" s="7">
        <f>40*3500000</f>
        <v>140000000.0</v>
      </c>
      <c r="C10" s="8">
        <f>B10/$B$11</f>
        <v>0.008990553497004219</v>
      </c>
      <c r="D10" s="9" t="inlineStr">
        <is>
          <t>Кладовые по 4–6 м²</t>
        </is>
      </c>
      <c r="E10" s="10" t="inlineStr">
        <is>
          <t>КД</t>
        </is>
      </c>
    </row>
    <row r="11">
      <c r="A11" s="11" t="inlineStr">
        <is>
          <t>ИТОГО выручка</t>
        </is>
      </c>
      <c r="B11" s="12">
        <f>SUM(B6:B10)</f>
        <v>15571900000.0</v>
      </c>
      <c r="C11" s="13">
        <f>B11/$B$11</f>
        <v>1.0</v>
      </c>
      <c r="D11" s="14" t="n"/>
      <c r="E11" s="14" t="n"/>
    </row>
    <row r="13">
      <c r="A13" s="4" t="inlineStr">
        <is>
          <t>ЗАТРАТЫ</t>
        </is>
      </c>
      <c r="B13" s="5" t="n"/>
      <c r="C13" s="5" t="n"/>
      <c r="D13" s="5" t="n"/>
      <c r="E13" s="5" t="n"/>
    </row>
    <row r="14">
      <c r="A14" s="6" t="inlineStr">
        <is>
          <t>Земля и права (вкл. выкуп доходного дома)</t>
        </is>
      </c>
      <c r="B14" s="7" t="n">
        <v>3300000000</v>
      </c>
      <c r="C14" s="8">
        <f>B14/$B$11</f>
        <v>0.21192018957224232</v>
      </c>
      <c r="D14" s="9" t="inlineStr">
        <is>
          <t>Вкл. выкуп доходного дома Сазонова</t>
        </is>
      </c>
      <c r="E14" s="10" t="inlineStr">
        <is>
          <t>Громова</t>
        </is>
      </c>
    </row>
    <row r="15">
      <c r="A15" s="6" t="inlineStr">
        <is>
          <t>ПИР, изыскания, экспертиза</t>
        </is>
      </c>
      <c r="B15" s="7" t="n">
        <v>420000000</v>
      </c>
      <c r="C15" s="8">
        <f>B15/$B$11</f>
        <v>0.02697166049101266</v>
      </c>
      <c r="D15" s="9" t="inlineStr"/>
      <c r="E15" s="10" t="inlineStr">
        <is>
          <t>Ермолин</t>
        </is>
      </c>
    </row>
    <row r="16">
      <c r="A16" s="6" t="inlineStr">
        <is>
          <t>Реставрация и реконструкция корпуса А</t>
        </is>
      </c>
      <c r="B16" s="7" t="n">
        <v>1150000000</v>
      </c>
      <c r="C16" s="8">
        <f>B16/$B$11</f>
        <v>0.07385097515396323</v>
      </c>
      <c r="D16" s="9" t="inlineStr">
        <is>
          <t>Исторический фасад сохраняется</t>
        </is>
      </c>
      <c r="E16" s="10" t="inlineStr">
        <is>
          <t>Ермолин</t>
        </is>
      </c>
    </row>
    <row r="17">
      <c r="A17" s="6" t="inlineStr">
        <is>
          <t>СМР корпус Б — генподряд ГП-2026/03</t>
        </is>
      </c>
      <c r="B17" s="7" t="n">
        <v>3640000000</v>
      </c>
      <c r="C17" s="8">
        <f>B17/$B$11</f>
        <v>0.2337543909221097</v>
      </c>
      <c r="D17" s="9" t="inlineStr">
        <is>
          <t>Проект договора с «Тектон Строй»</t>
        </is>
      </c>
      <c r="E17" s="10" t="inlineStr">
        <is>
          <t>Ермолин</t>
        </is>
      </c>
    </row>
    <row r="18">
      <c r="A18" s="6" t="inlineStr">
        <is>
          <t>Фасады корпуса Б (камень, остекление, бронза) — лимит</t>
        </is>
      </c>
      <c r="B18" s="7" t="n">
        <v>420000000</v>
      </c>
      <c r="C18" s="8">
        <f>B18/$B$11</f>
        <v>0.02697166049101266</v>
      </c>
      <c r="D18" s="9" t="inlineStr">
        <is>
          <t>Прямые договоры застройщика, вне генподряда; КП собираем</t>
        </is>
      </c>
      <c r="E18" s="10" t="inlineStr">
        <is>
          <t>КД / Ермолин</t>
        </is>
      </c>
    </row>
    <row r="19">
      <c r="A19" s="6" t="inlineStr">
        <is>
          <t>Инженерия и лифты (вне генподряда)</t>
        </is>
      </c>
      <c r="B19" s="7" t="n">
        <v>380000000</v>
      </c>
      <c r="C19" s="8">
        <f>B19/$B$11</f>
        <v>0.024402930920440023</v>
      </c>
      <c r="D19" s="9" t="inlineStr"/>
      <c r="E19" s="10" t="inlineStr">
        <is>
          <t>Ермолин</t>
        </is>
      </c>
    </row>
    <row r="20">
      <c r="A20" s="6" t="inlineStr">
        <is>
          <t>МОП и лобби (отделка)</t>
        </is>
      </c>
      <c r="B20" s="7" t="n">
        <v>210000000</v>
      </c>
      <c r="C20" s="8">
        <f>B20/$B$11</f>
        <v>0.01348583024550633</v>
      </c>
      <c r="D20" s="9" t="inlineStr"/>
      <c r="E20" s="10" t="inlineStr">
        <is>
          <t>Ермолин</t>
        </is>
      </c>
    </row>
    <row r="21">
      <c r="A21" s="6" t="inlineStr">
        <is>
          <t>Благоустройство и сад</t>
        </is>
      </c>
      <c r="B21" s="7" t="n">
        <v>95000000</v>
      </c>
      <c r="C21" s="8">
        <f>B21/$B$11</f>
        <v>0.006100732730110006</v>
      </c>
      <c r="D21" s="9" t="inlineStr">
        <is>
          <t>Частный сад, три липы сохраняем</t>
        </is>
      </c>
      <c r="E21" s="10" t="inlineStr">
        <is>
          <t>Ермолин</t>
        </is>
      </c>
    </row>
    <row r="22">
      <c r="A22" s="6" t="inlineStr">
        <is>
          <t>Маркетинг (2,0% выручки)</t>
        </is>
      </c>
      <c r="B22" s="15">
        <f>0.02*B11</f>
        <v>311438000.0</v>
      </c>
      <c r="C22" s="8">
        <f>B22/$B$11</f>
        <v>0.02</v>
      </c>
      <c r="D22" s="9" t="inlineStr">
        <is>
          <t>Формула: 2,0% от итога выручки</t>
        </is>
      </c>
      <c r="E22" s="10" t="inlineStr">
        <is>
          <t>Кравец</t>
        </is>
      </c>
    </row>
    <row r="23">
      <c r="A23" s="6" t="inlineStr">
        <is>
          <t>Брокерские (3% × 60% продаж через брокеров)</t>
        </is>
      </c>
      <c r="B23" s="15">
        <f>0.018*B11</f>
        <v>280294200.0</v>
      </c>
      <c r="C23" s="8">
        <f>B23/$B$11</f>
        <v>0.018</v>
      </c>
      <c r="D23" s="9" t="inlineStr">
        <is>
          <t>Формула: 3% комиссии × 60% продаж через брокеров</t>
        </is>
      </c>
      <c r="E23" s="10" t="inlineStr">
        <is>
          <t>Белкина</t>
        </is>
      </c>
    </row>
    <row r="24">
      <c r="A24" s="6" t="inlineStr">
        <is>
          <t>Проценты по проектному финансированию</t>
        </is>
      </c>
      <c r="B24" s="7" t="n">
        <v>780000000</v>
      </c>
      <c r="C24" s="8">
        <f>B24/$B$11</f>
        <v>0.05009022662616636</v>
      </c>
      <c r="D24" s="9" t="inlineStr">
        <is>
          <t>Лимит кредита 6,1 млрд ₽, эскроу</t>
        </is>
      </c>
      <c r="E24" s="10" t="inlineStr">
        <is>
          <t>Воробьёв</t>
        </is>
      </c>
    </row>
    <row r="25">
      <c r="A25" s="6" t="inlineStr">
        <is>
          <t>Управление проектом</t>
        </is>
      </c>
      <c r="B25" s="7" t="n">
        <v>360000000</v>
      </c>
      <c r="C25" s="8">
        <f>B25/$B$11</f>
        <v>0.023118566135153708</v>
      </c>
      <c r="D25" s="9" t="inlineStr"/>
      <c r="E25" s="10" t="inlineStr">
        <is>
          <t>Ермолин</t>
        </is>
      </c>
    </row>
    <row r="26">
      <c r="A26" s="6" t="inlineStr">
        <is>
          <t>Резерв (5% от СМР Б + реставрация + фасады + инженерия + МОП)</t>
        </is>
      </c>
      <c r="B26" s="15">
        <f>0.05*(B17+B16+B18+B19+B20)</f>
        <v>290000000.0</v>
      </c>
      <c r="C26" s="8">
        <f>B26/$B$11</f>
        <v>0.018623289386651597</v>
      </c>
      <c r="D26" s="9" t="inlineStr">
        <is>
          <t>Формула: 5% от СМР Б + реставрация + фасады + инженерия + МОП</t>
        </is>
      </c>
      <c r="E26" s="10" t="inlineStr">
        <is>
          <t>Воробьёв</t>
        </is>
      </c>
    </row>
    <row r="27">
      <c r="A27" s="11" t="inlineStr">
        <is>
          <t>ИТОГО затраты</t>
        </is>
      </c>
      <c r="B27" s="12">
        <f>SUM(B14:B26)</f>
        <v>11636732200.0</v>
      </c>
      <c r="C27" s="13">
        <f>B27/$B$11</f>
        <v>0.7472904526743686</v>
      </c>
      <c r="D27" s="14" t="n"/>
      <c r="E27" s="14" t="n"/>
    </row>
    <row r="29">
      <c r="A29" s="11" t="inlineStr">
        <is>
          <t>Валовая прибыль</t>
        </is>
      </c>
      <c r="B29" s="12">
        <f>B11-B27</f>
        <v>3935167800.0</v>
      </c>
      <c r="C29" s="13">
        <f>B29/$B$11</f>
        <v>0.25270954732563145</v>
      </c>
      <c r="D29" s="14" t="n"/>
      <c r="E29" s="14" t="n"/>
    </row>
    <row r="30">
      <c r="A30" s="11" t="inlineStr">
        <is>
          <t>Валовая маржа</t>
        </is>
      </c>
      <c r="B30" s="16">
        <f>B29/B11</f>
        <v>0.25270954732563145</v>
      </c>
      <c r="C30" s="14" t="n"/>
      <c r="D30" s="17" t="inlineStr">
        <is>
          <t>≈25% — на грани норматива ФС-02, IRR — см. лист 2</t>
        </is>
      </c>
      <c r="E30" s="14" t="n"/>
    </row>
    <row r="32">
      <c r="A32" s="18" t="inlineStr">
        <is>
          <t>Синие числа — вводные; чёрные — формулы.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56" customWidth="1" min="4" max="4"/>
  </cols>
  <sheetData>
    <row r="1">
      <c r="A1" s="1" t="inlineStr">
        <is>
          <t>Денежный поток на собственный капитал (СК), млн ₽, по кварталам</t>
        </is>
      </c>
    </row>
    <row r="2">
      <c r="A2" s="2" t="inlineStr">
        <is>
          <t>Версия от 01.09.2026, Д. Воробьёв. Черновик к инвесткомитету</t>
        </is>
      </c>
    </row>
    <row r="4">
      <c r="A4" s="19" t="inlineStr">
        <is>
          <t>Квартал</t>
        </is>
      </c>
      <c r="B4" s="19" t="inlineStr">
        <is>
          <t>Поток на СК, млн ₽</t>
        </is>
      </c>
      <c r="C4" s="19" t="inlineStr">
        <is>
          <t>Накопленный поток, млн ₽</t>
        </is>
      </c>
      <c r="D4" s="19" t="inlineStr">
        <is>
          <t>Комментарий</t>
        </is>
      </c>
    </row>
    <row r="5">
      <c r="A5" s="6" t="inlineStr">
        <is>
          <t>Q3-2025</t>
        </is>
      </c>
      <c r="B5" s="20" t="n">
        <v>-3300</v>
      </c>
      <c r="C5" s="21">
        <f>SUM($B$5:B5)</f>
        <v>-3300.0</v>
      </c>
      <c r="D5" s="9" t="inlineStr">
        <is>
          <t>Земля</t>
        </is>
      </c>
    </row>
    <row r="6">
      <c r="A6" s="6" t="inlineStr">
        <is>
          <t>Q4-2025</t>
        </is>
      </c>
      <c r="B6" s="20" t="n">
        <v>-500</v>
      </c>
      <c r="C6" s="21">
        <f>SUM($B$5:B6)</f>
        <v>-3800.0</v>
      </c>
      <c r="D6" s="9" t="inlineStr">
        <is>
          <t>Собственные средства (30% небанковской части затрат)</t>
        </is>
      </c>
    </row>
    <row r="7">
      <c r="A7" s="6" t="inlineStr">
        <is>
          <t>Q1-2026</t>
        </is>
      </c>
      <c r="B7" s="20" t="n">
        <v>-500</v>
      </c>
      <c r="C7" s="21">
        <f>SUM($B$5:B7)</f>
        <v>-4300.0</v>
      </c>
      <c r="D7" s="9" t="inlineStr">
        <is>
          <t>Собственные средства (30% небанковской части затрат)</t>
        </is>
      </c>
    </row>
    <row r="8">
      <c r="A8" s="6" t="inlineStr">
        <is>
          <t>Q2-2026</t>
        </is>
      </c>
      <c r="B8" s="20" t="n">
        <v>-500</v>
      </c>
      <c r="C8" s="21">
        <f>SUM($B$5:B8)</f>
        <v>-4800.0</v>
      </c>
      <c r="D8" s="9" t="inlineStr">
        <is>
          <t>Собственные средства (30% небанковской части затрат)</t>
        </is>
      </c>
    </row>
    <row r="9">
      <c r="A9" s="6" t="inlineStr">
        <is>
          <t>Q3-2026</t>
        </is>
      </c>
      <c r="B9" s="20" t="n">
        <v>-500</v>
      </c>
      <c r="C9" s="21">
        <f>SUM($B$5:B9)</f>
        <v>-5300.0</v>
      </c>
      <c r="D9" s="9" t="inlineStr">
        <is>
          <t>Собственные средства (30% небанковской части затрат)</t>
        </is>
      </c>
    </row>
    <row r="10">
      <c r="A10" s="6" t="inlineStr">
        <is>
          <t>Q4-2026</t>
        </is>
      </c>
      <c r="B10" s="20" t="n">
        <v>-500</v>
      </c>
      <c r="C10" s="21">
        <f>SUM($B$5:B10)</f>
        <v>-5800.0</v>
      </c>
      <c r="D10" s="9" t="inlineStr">
        <is>
          <t>Собственные средства (30% небанковской части затрат)</t>
        </is>
      </c>
    </row>
    <row r="11">
      <c r="A11" s="6" t="inlineStr">
        <is>
          <t>Q1-2027</t>
        </is>
      </c>
      <c r="B11" s="20" t="n">
        <v>0</v>
      </c>
      <c r="C11" s="21">
        <f>SUM($B$5:B11)</f>
        <v>-5800.0</v>
      </c>
      <c r="D11" s="9" t="inlineStr">
        <is>
          <t>Стройка на проектном кредите</t>
        </is>
      </c>
    </row>
    <row r="12">
      <c r="A12" s="6" t="inlineStr">
        <is>
          <t>Q2-2027</t>
        </is>
      </c>
      <c r="B12" s="20" t="n">
        <v>0</v>
      </c>
      <c r="C12" s="21">
        <f>SUM($B$5:B12)</f>
        <v>-5800.0</v>
      </c>
      <c r="D12" s="9" t="inlineStr">
        <is>
          <t>Стройка на проектном кредите</t>
        </is>
      </c>
    </row>
    <row r="13">
      <c r="A13" s="6" t="inlineStr">
        <is>
          <t>Q3-2027</t>
        </is>
      </c>
      <c r="B13" s="20" t="n">
        <v>0</v>
      </c>
      <c r="C13" s="21">
        <f>SUM($B$5:B13)</f>
        <v>-5800.0</v>
      </c>
      <c r="D13" s="9" t="inlineStr">
        <is>
          <t>Стройка на проектном кредите</t>
        </is>
      </c>
    </row>
    <row r="14">
      <c r="A14" s="6" t="inlineStr">
        <is>
          <t>Q4-2027</t>
        </is>
      </c>
      <c r="B14" s="20" t="n">
        <v>2000</v>
      </c>
      <c r="C14" s="21">
        <f>SUM($B$5:B14)</f>
        <v>-3800.0</v>
      </c>
      <c r="D14" s="9" t="inlineStr">
        <is>
          <t>Раскрытие эскроу по корпусу А</t>
        </is>
      </c>
    </row>
    <row r="15">
      <c r="A15" s="6" t="inlineStr">
        <is>
          <t>Q1-2028</t>
        </is>
      </c>
      <c r="B15" s="20" t="n">
        <v>0</v>
      </c>
      <c r="C15" s="21">
        <f>SUM($B$5:B15)</f>
        <v>-3800.0</v>
      </c>
      <c r="D15" s="9" t="inlineStr"/>
    </row>
    <row r="16">
      <c r="A16" s="6" t="inlineStr">
        <is>
          <t>Q2-2028</t>
        </is>
      </c>
      <c r="B16" s="20" t="n">
        <v>0</v>
      </c>
      <c r="C16" s="21">
        <f>SUM($B$5:B16)</f>
        <v>-3800.0</v>
      </c>
      <c r="D16" s="9" t="inlineStr"/>
    </row>
    <row r="17">
      <c r="A17" s="6" t="inlineStr">
        <is>
          <t>Q3-2028</t>
        </is>
      </c>
      <c r="B17" s="20" t="n">
        <v>0</v>
      </c>
      <c r="C17" s="21">
        <f>SUM($B$5:B17)</f>
        <v>-3800.0</v>
      </c>
      <c r="D17" s="9" t="inlineStr"/>
    </row>
    <row r="18">
      <c r="A18" s="6" t="inlineStr">
        <is>
          <t>Q4-2028</t>
        </is>
      </c>
      <c r="B18" s="20" t="n">
        <v>7735</v>
      </c>
      <c r="C18" s="21">
        <f>SUM($B$5:B18)</f>
        <v>3935.0</v>
      </c>
      <c r="D18" s="9" t="inlineStr">
        <is>
          <t>Раскрытие эскроу по корпусу Б, погашение кредита</t>
        </is>
      </c>
    </row>
    <row r="20">
      <c r="A20" s="11" t="inlineStr">
        <is>
          <t>Итого вложено</t>
        </is>
      </c>
      <c r="B20" s="12">
        <f>-SUMIF(B5:B18,"&lt;0")</f>
        <v>5800.0</v>
      </c>
      <c r="C20" s="14" t="n"/>
      <c r="D20" s="22" t="inlineStr"/>
    </row>
    <row r="21">
      <c r="A21" s="11" t="inlineStr">
        <is>
          <t>Итого возвращено</t>
        </is>
      </c>
      <c r="B21" s="12">
        <f>SUMIF(B5:B18,"&gt;0")</f>
        <v>9735.0</v>
      </c>
      <c r="C21" s="14" t="n"/>
      <c r="D21" s="22" t="inlineStr"/>
    </row>
    <row r="22">
      <c r="A22" s="11" t="inlineStr">
        <is>
          <t>Чистый поток (= валовая прибыль)</t>
        </is>
      </c>
      <c r="B22" s="12">
        <f>SUM(B5:B18)</f>
        <v>3935.0</v>
      </c>
      <c r="C22" s="14" t="n"/>
      <c r="D22" s="17" t="inlineStr">
        <is>
          <t>Сверка с листом «Бюджет и маржа»</t>
        </is>
      </c>
    </row>
    <row r="24">
      <c r="A24" s="11" t="inlineStr">
        <is>
          <t>IRR квартальный</t>
        </is>
      </c>
      <c r="B24" s="23">
        <f>IRR(B5:B18)</f>
        <v>0.04869591360377845</v>
      </c>
      <c r="C24" s="14" t="n"/>
      <c r="D24" s="22" t="inlineStr"/>
    </row>
    <row r="25">
      <c r="A25" s="11" t="inlineStr">
        <is>
          <t>IRR годовой</t>
        </is>
      </c>
      <c r="B25" s="16">
        <f>(1+B24)^4-1</f>
        <v>0.20947891837288823</v>
      </c>
      <c r="C25" s="14" t="n"/>
      <c r="D25" s="17" t="inlineStr">
        <is>
          <t>≈21% — ниже целевых 22% по ФС-02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2026-09-10T20:35:50Z</dcterms:created>
  <dcterms:modified xmlns:dcterms="http://purl.org/dc/terms/" xmlns:xsi="http://www.w3.org/2001/XMLSchema-instance" xsi:type="dcterms:W3CDTF">2026-09-10T20:35:50Z</dcterms:modified>
</cp:coreProperties>
</file>