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" sheetId="1" state="visible" r:id="rId1"/>
    <sheet xmlns:r="http://schemas.openxmlformats.org/officeDocument/2006/relationships" name="Monthly (suppor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2"/>
    </font>
    <font>
      <name val="Arial"/>
      <b val="1"/>
      <color rgb="00171633"/>
      <sz val="11"/>
    </font>
    <font>
      <name val="Arial"/>
      <sz val="11"/>
    </font>
    <font>
      <name val="Arial"/>
      <color rgb="001A1A8C"/>
      <sz val="11"/>
    </font>
    <font>
      <name val="Arial"/>
      <color rgb="00000000"/>
      <sz val="11"/>
    </font>
    <font>
      <name val="Arial"/>
      <b val="1"/>
      <color rgb="000E8A7E"/>
      <sz val="11"/>
    </font>
  </fonts>
  <fills count="5">
    <fill>
      <patternFill/>
    </fill>
    <fill>
      <patternFill patternType="gray125"/>
    </fill>
    <fill>
      <patternFill patternType="solid">
        <fgColor rgb="00171633"/>
      </patternFill>
    </fill>
    <fill>
      <patternFill patternType="solid">
        <fgColor rgb="00F5F4FB"/>
      </patternFill>
    </fill>
    <fill>
      <patternFill patternType="solid">
        <fgColor rgb="00EDEBF9"/>
      </patternFill>
    </fill>
  </fills>
  <borders count="2">
    <border>
      <left/>
      <right/>
      <top/>
      <bottom/>
      <diagonal/>
    </border>
    <border>
      <left style="thin">
        <color rgb="00D8D6E8"/>
      </left>
      <right style="thin">
        <color rgb="00D8D6E8"/>
      </right>
      <top style="thin">
        <color rgb="00D8D6E8"/>
      </top>
      <bottom style="thin">
        <color rgb="00D8D6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2" fillId="0" borderId="1" pivotButton="0" quotePrefix="0" xfId="0"/>
    <xf numFmtId="0" fontId="4" fillId="0" borderId="1" pivotButton="0" quotePrefix="0" xfId="0"/>
    <xf numFmtId="3" fontId="4" fillId="4" borderId="1" pivotButton="0" quotePrefix="0" xfId="0"/>
    <xf numFmtId="0" fontId="0" fillId="0" borderId="1" pivotButton="0" quotePrefix="0" xfId="0"/>
    <xf numFmtId="3" fontId="7" fillId="0" borderId="1" pivotButton="0" quotePrefix="0" xfId="0"/>
    <xf numFmtId="0" fontId="3" fillId="2" borderId="1" pivotButton="0" quotePrefix="0" xfId="0"/>
    <xf numFmtId="3" fontId="3" fillId="2" borderId="1" pivotButton="0" quotePrefix="0" xfId="0"/>
    <xf numFmtId="0" fontId="0" fillId="2" borderId="1" pivotButton="0" quotePrefix="0" xfId="0"/>
    <xf numFmtId="3" fontId="8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6" customWidth="1" min="3" max="3"/>
    <col width="26" customWidth="1" min="4" max="4"/>
  </cols>
  <sheetData>
    <row r="1">
      <c r="A1" s="1" t="inlineStr">
        <is>
          <t>Project Hermes — AI support assistant. Development and rollout budget</t>
        </is>
      </c>
    </row>
    <row r="2">
      <c r="A2" s="2" t="inlineStr">
        <is>
          <t>Version of 25.06.2026 — draft, estimates from the tech lead and vendors, not final</t>
        </is>
      </c>
    </row>
    <row r="3"/>
    <row r="4">
      <c r="A4" s="3" t="inlineStr">
        <is>
          <t>Item</t>
        </is>
      </c>
      <c r="B4" s="3" t="inlineStr">
        <is>
          <t>Amount, $</t>
        </is>
      </c>
      <c r="C4" s="3" t="inlineStr">
        <is>
          <t>Comment</t>
        </is>
      </c>
      <c r="D4" s="3" t="inlineStr">
        <is>
          <t>Source / owner</t>
        </is>
      </c>
    </row>
    <row r="5">
      <c r="A5" s="4" t="inlineStr">
        <is>
          <t>TEAM (4 months)</t>
        </is>
      </c>
      <c r="B5" s="5" t="n"/>
      <c r="C5" s="5" t="n"/>
      <c r="D5" s="5" t="n"/>
    </row>
    <row r="6">
      <c r="A6" s="6" t="inlineStr">
        <is>
          <t>PM (0.4 FTE × 4 mo)</t>
        </is>
      </c>
      <c r="B6" s="7" t="n">
        <v>4000</v>
      </c>
      <c r="C6" s="8" t="inlineStr">
        <is>
          <t>Project management, client communication</t>
        </is>
      </c>
      <c r="D6" s="6" t="inlineStr">
        <is>
          <t>Tech lead</t>
        </is>
      </c>
    </row>
    <row r="7">
      <c r="A7" s="6" t="inlineStr">
        <is>
          <t>ML/LLM engineer (1.0 × 4 mo)</t>
        </is>
      </c>
      <c r="B7" s="7" t="n">
        <v>11500</v>
      </c>
      <c r="C7" s="8" t="inlineStr">
        <is>
          <t>Assistant core, RAG, prompting, eval</t>
        </is>
      </c>
      <c r="D7" s="6" t="inlineStr">
        <is>
          <t>Tech lead</t>
        </is>
      </c>
    </row>
    <row r="8">
      <c r="A8" s="6" t="inlineStr">
        <is>
          <t>Backend developer (0.7 × 4 mo)</t>
        </is>
      </c>
      <c r="B8" s="7" t="n">
        <v>7000</v>
      </c>
      <c r="C8" s="8" t="inlineStr">
        <is>
          <t>Helpdesk integration, API, queues</t>
        </is>
      </c>
      <c r="D8" s="6" t="inlineStr">
        <is>
          <t>Tech lead</t>
        </is>
      </c>
    </row>
    <row r="9">
      <c r="A9" s="6" t="inlineStr">
        <is>
          <t>ML data engineer (0.4 × 4 mo)</t>
        </is>
      </c>
      <c r="B9" s="7" t="n">
        <v>3000</v>
      </c>
      <c r="C9" s="8" t="inlineStr">
        <is>
          <t>Knowledge-base collection and preparation</t>
        </is>
      </c>
      <c r="D9" s="6" t="inlineStr">
        <is>
          <t>Tech lead</t>
        </is>
      </c>
    </row>
    <row r="10">
      <c r="A10" s="6" t="inlineStr">
        <is>
          <t>QA engineer (0.4 × 4 mo)</t>
        </is>
      </c>
      <c r="B10" s="7" t="n">
        <v>2500</v>
      </c>
      <c r="C10" s="8" t="inlineStr">
        <is>
          <t>Test cases, acceptance set, regression</t>
        </is>
      </c>
      <c r="D10" s="6" t="inlineStr">
        <is>
          <t>Tech lead</t>
        </is>
      </c>
    </row>
    <row r="11">
      <c r="A11" s="9" t="inlineStr">
        <is>
          <t>TOTAL team</t>
        </is>
      </c>
      <c r="B11" s="10">
        <f>SUM(B6:B10)</f>
        <v/>
      </c>
      <c r="C11" s="11" t="n"/>
      <c r="D11" s="11" t="n"/>
    </row>
    <row r="12"/>
    <row r="13">
      <c r="A13" s="4" t="inlineStr">
        <is>
          <t>INFRASTRUCTURE AND LICENCES</t>
        </is>
      </c>
      <c r="B13" s="5" t="n"/>
      <c r="C13" s="5" t="n"/>
      <c r="D13" s="5" t="n"/>
    </row>
    <row r="14">
      <c r="A14" s="6" t="inlineStr">
        <is>
          <t>Inference / LLM API (development + test)</t>
        </is>
      </c>
      <c r="B14" s="7" t="n">
        <v>1800</v>
      </c>
      <c r="C14" s="8" t="inlineStr">
        <is>
          <t>Per the chosen vendor (ModelAPI)</t>
        </is>
      </c>
      <c r="D14" s="6" t="inlineStr">
        <is>
          <t>Inference vendor</t>
        </is>
      </c>
    </row>
    <row r="15">
      <c r="A15" s="6" t="inlineStr">
        <is>
          <t>Cloud (dev / stage)</t>
        </is>
      </c>
      <c r="B15" s="7" t="n">
        <v>1000</v>
      </c>
      <c r="C15" s="8" t="inlineStr">
        <is>
          <t>Development and test environments</t>
        </is>
      </c>
      <c r="D15" s="6" t="inlineStr">
        <is>
          <t>Cloud provider</t>
        </is>
      </c>
    </row>
    <row r="16">
      <c r="A16" s="6" t="inlineStr">
        <is>
          <t>Vector DB / embedding store</t>
        </is>
      </c>
      <c r="B16" s="7" t="n">
        <v>700</v>
      </c>
      <c r="C16" s="8" t="inlineStr">
        <is>
          <t>Knowledge-base storage</t>
        </is>
      </c>
      <c r="D16" s="6" t="inlineStr">
        <is>
          <t>VectoDB</t>
        </is>
      </c>
    </row>
    <row r="17">
      <c r="A17" s="6" t="inlineStr">
        <is>
          <t>Tooling (monitoring, CI/CD)</t>
        </is>
      </c>
      <c r="B17" s="7" t="n">
        <v>450</v>
      </c>
      <c r="C17" s="8" t="inlineStr">
        <is>
          <t>Logs, alerting, builds</t>
        </is>
      </c>
      <c r="D17" s="6" t="inlineStr">
        <is>
          <t>—</t>
        </is>
      </c>
    </row>
    <row r="18">
      <c r="A18" s="9" t="inlineStr">
        <is>
          <t>TOTAL infrastructure</t>
        </is>
      </c>
      <c r="B18" s="10">
        <f>SUM(B14:B17)</f>
        <v/>
      </c>
      <c r="C18" s="11" t="n"/>
      <c r="D18" s="11" t="n"/>
    </row>
    <row r="19"/>
    <row r="20">
      <c r="A20" s="4" t="inlineStr">
        <is>
          <t>DATA AND CONTENT</t>
        </is>
      </c>
      <c r="B20" s="5" t="n"/>
      <c r="C20" s="5" t="n"/>
      <c r="D20" s="5" t="n"/>
    </row>
    <row r="21">
      <c r="A21" s="6" t="inlineStr">
        <is>
          <t>Knowledge-base prep/labelling (contractor)</t>
        </is>
      </c>
      <c r="B21" s="7" t="n">
        <v>2000</v>
      </c>
      <c r="C21" s="8" t="inlineStr">
        <is>
          <t>Policies, FAQ, tariffs into RAG</t>
        </is>
      </c>
      <c r="D21" s="6" t="inlineStr">
        <is>
          <t>Labelling contractor</t>
        </is>
      </c>
    </row>
    <row r="22">
      <c r="A22" s="6" t="inlineStr">
        <is>
          <t>Data collection and cleaning</t>
        </is>
      </c>
      <c r="B22" s="7" t="n">
        <v>1000</v>
      </c>
      <c r="C22" s="8" t="inlineStr">
        <is>
          <t>Exports from Hermes systems</t>
        </is>
      </c>
      <c r="D22" s="6" t="inlineStr">
        <is>
          <t>Internal</t>
        </is>
      </c>
    </row>
    <row r="23">
      <c r="A23" s="9" t="inlineStr">
        <is>
          <t>TOTAL data</t>
        </is>
      </c>
      <c r="B23" s="10">
        <f>SUM(B21:B22)</f>
        <v/>
      </c>
      <c r="C23" s="11" t="n"/>
      <c r="D23" s="11" t="n"/>
    </row>
    <row r="24"/>
    <row r="25">
      <c r="A25" s="4" t="inlineStr">
        <is>
          <t>OTHER</t>
        </is>
      </c>
      <c r="B25" s="5" t="n"/>
      <c r="C25" s="5" t="n"/>
      <c r="D25" s="5" t="n"/>
    </row>
    <row r="26">
      <c r="A26" s="6" t="inlineStr">
        <is>
          <t>Assistant UI design</t>
        </is>
      </c>
      <c r="B26" s="7" t="n">
        <v>900</v>
      </c>
      <c r="C26" s="8" t="inlineStr">
        <is>
          <t>UI for operator suggestions</t>
        </is>
      </c>
      <c r="D26" s="6" t="inlineStr">
        <is>
          <t>Designer</t>
        </is>
      </c>
    </row>
    <row r="27">
      <c r="A27" s="6" t="inlineStr">
        <is>
          <t>Legal support (contract, NDA, GDPR)</t>
        </is>
      </c>
      <c r="B27" s="7" t="n">
        <v>700</v>
      </c>
      <c r="C27" s="8" t="inlineStr">
        <is>
          <t>Contract and personal-data review</t>
        </is>
      </c>
      <c r="D27" s="6" t="inlineStr">
        <is>
          <t>Law firm</t>
        </is>
      </c>
    </row>
    <row r="28">
      <c r="A28" s="6" t="inlineStr">
        <is>
          <t>Pilot / trial operation</t>
        </is>
      </c>
      <c r="B28" s="7" t="n">
        <v>1000</v>
      </c>
      <c r="C28" s="8" t="inlineStr">
        <is>
          <t>2-week pilot with a subset of operators</t>
        </is>
      </c>
      <c r="D28" s="6" t="inlineStr">
        <is>
          <t>Internal</t>
        </is>
      </c>
    </row>
    <row r="29">
      <c r="A29" s="6" t="inlineStr">
        <is>
          <t>Risk reserve (10%)</t>
        </is>
      </c>
      <c r="B29" s="12">
        <f>(SUM(B6:B10)+SUM(B14:B17)+SUM(B21:B22)+SUM(B26:B28))*0.1</f>
        <v/>
      </c>
      <c r="C29" s="8" t="inlineStr">
        <is>
          <t>Formula: 10% of the sum above</t>
        </is>
      </c>
      <c r="D29" s="6" t="inlineStr">
        <is>
          <t>—</t>
        </is>
      </c>
    </row>
    <row r="30">
      <c r="A30" s="9" t="inlineStr">
        <is>
          <t>TOTAL other</t>
        </is>
      </c>
      <c r="B30" s="10">
        <f>SUM(B26:B29)</f>
        <v/>
      </c>
      <c r="C30" s="11" t="n"/>
      <c r="D30" s="11" t="n"/>
    </row>
    <row r="31"/>
    <row r="32">
      <c r="A32" s="13" t="inlineStr">
        <is>
          <t>PROJECT TOTAL COST</t>
        </is>
      </c>
      <c r="B32" s="14">
        <f>B11+B18+B23+B30</f>
        <v/>
      </c>
      <c r="C32" s="15" t="n"/>
      <c r="D32" s="15" t="n"/>
    </row>
    <row r="33"/>
    <row r="34">
      <c r="A34" s="9" t="inlineStr">
        <is>
          <t>Contract value</t>
        </is>
      </c>
      <c r="B34" s="16" t="n">
        <v>69000</v>
      </c>
      <c r="C34" s="8" t="inlineStr">
        <is>
          <t>Gross margin ≈ 40% — below the 45% target per PS-01, needs review</t>
        </is>
      </c>
      <c r="D34" s="11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50" customWidth="1" min="3" max="3"/>
  </cols>
  <sheetData>
    <row r="1">
      <c r="A1" s="17" t="inlineStr">
        <is>
          <t>Forecast monthly support costs (after go-live in production)</t>
        </is>
      </c>
    </row>
    <row r="2">
      <c r="A2" s="2" t="inlineStr">
        <is>
          <t>Attention: verify the client's SLA rate ($4,200/month) against the contract</t>
        </is>
      </c>
    </row>
    <row r="3"/>
    <row r="4">
      <c r="A4" s="3" t="inlineStr">
        <is>
          <t>Item</t>
        </is>
      </c>
      <c r="B4" s="3" t="inlineStr">
        <is>
          <t>Amount, $/mo</t>
        </is>
      </c>
      <c r="C4" s="3" t="inlineStr">
        <is>
          <t>Comment</t>
        </is>
      </c>
    </row>
    <row r="5">
      <c r="A5" s="6" t="inlineStr">
        <is>
          <t>Inference / LLM API (prod)</t>
        </is>
      </c>
      <c r="B5" s="7" t="n">
        <v>1050</v>
      </c>
      <c r="C5" s="8" t="inlineStr">
        <is>
          <t>ModelAPI, ~ production traffic volume</t>
        </is>
      </c>
    </row>
    <row r="6">
      <c r="A6" s="6" t="inlineStr">
        <is>
          <t>Cloud / infra (prod)</t>
        </is>
      </c>
      <c r="B6" s="7" t="n">
        <v>420</v>
      </c>
      <c r="C6" s="8" t="inlineStr">
        <is>
          <t>Production environment</t>
        </is>
      </c>
    </row>
    <row r="7">
      <c r="A7" s="6" t="inlineStr">
        <is>
          <t>Vector DB / storage</t>
        </is>
      </c>
      <c r="B7" s="7" t="n">
        <v>180</v>
      </c>
      <c r="C7" s="8" t="inlineStr">
        <is>
          <t>VectoDB</t>
        </is>
      </c>
    </row>
    <row r="8">
      <c r="A8" s="6" t="inlineStr">
        <is>
          <t>Monitoring and alerting</t>
        </is>
      </c>
      <c r="B8" s="7" t="n">
        <v>120</v>
      </c>
      <c r="C8" s="8" t="inlineStr">
        <is>
          <t>Logs, quality dashboards</t>
        </is>
      </c>
    </row>
    <row r="9">
      <c r="A9" s="6" t="inlineStr">
        <is>
          <t>Support (engineer, part-time)</t>
        </is>
      </c>
      <c r="B9" s="7" t="n">
        <v>780</v>
      </c>
      <c r="C9" s="8" t="inlineStr">
        <is>
          <t>Incidents, fine-tuning, knowledge-base updates</t>
        </is>
      </c>
    </row>
    <row r="10">
      <c r="A10" s="9" t="inlineStr">
        <is>
          <t>TOTAL monthly</t>
        </is>
      </c>
      <c r="B10" s="10">
        <f>SUM(B5:B9)</f>
        <v/>
      </c>
      <c r="C10" s="11" t="n"/>
    </row>
    <row r="11"/>
    <row r="12">
      <c r="A12" s="2" t="inlineStr">
        <is>
          <t>For reference: client SLA payment $4,200/month → support is profitable.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2026-06-30T09:41:43Z</dcterms:created>
  <dcterms:modified xmlns:dcterms="http://purl.org/dc/terms/" xmlns:xsi="http://www.w3.org/2001/XMLSchema-instance" xsi:type="dcterms:W3CDTF">2026-07-16T19:13:58Z</dcterms:modified>
</cp:coreProperties>
</file>